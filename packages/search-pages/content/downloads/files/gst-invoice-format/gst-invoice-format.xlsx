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  <sheet name="Example" sheetId="2" r:id="rId2"/>
  </sheets>
  <calcPr calcId="0" fullCalcOnLoad="1"/>
</workbook>
</file>

<file path=xl/sharedStrings.xml><?xml version="1.0" encoding="utf-8"?>
<sst xmlns="http://schemas.openxmlformats.org/spreadsheetml/2006/main" count="50" uniqueCount="50">
  <si>
    <t xml:space="preserve">Tax invoice</t>
  </si>
  <si>
    <t xml:space="preserve">Type in the yellow cells. The tax and the totals work themselves out.</t>
  </si>
  <si>
    <t xml:space="preserve">From</t>
  </si>
  <si>
    <t xml:space="preserve">Invoice</t>
  </si>
  <si>
    <t xml:space="preserve">Business name</t>
  </si>
  <si>
    <t xml:space="preserve">Invoice number</t>
  </si>
  <si>
    <t xml:space="preserve">Address</t>
  </si>
  <si>
    <t xml:space="preserve">Invoice date</t>
  </si>
  <si>
    <t xml:space="preserve">GSTIN</t>
  </si>
  <si>
    <t xml:space="preserve">Place of supply (state code)</t>
  </si>
  <si>
    <t xml:space="preserve">State code</t>
  </si>
  <si>
    <t xml:space="preserve">Reverse charge</t>
  </si>
  <si>
    <t xml:space="preserve">Billed to</t>
  </si>
  <si>
    <t xml:space="preserve">Customer name</t>
  </si>
  <si>
    <t xml:space="preserve">GSTIN (if they have one)</t>
  </si>
  <si>
    <t xml:space="preserve">Same state code in B8 and H7: CGST and SGST, half the rate each. Another state: IGST at the full rate.</t>
  </si>
  <si>
    <t xml:space="preserve">#</t>
  </si>
  <si>
    <t xml:space="preserve">Item or service</t>
  </si>
  <si>
    <t xml:space="preserve">HSN/SAC</t>
  </si>
  <si>
    <t xml:space="preserve">Qty</t>
  </si>
  <si>
    <t xml:space="preserve">Rate (₹)</t>
  </si>
  <si>
    <t xml:space="preserve">Taxable value (₹)</t>
  </si>
  <si>
    <t xml:space="preserve">GST %</t>
  </si>
  <si>
    <t xml:space="preserve">CGST (₹)</t>
  </si>
  <si>
    <t xml:space="preserve">SGST (₹)</t>
  </si>
  <si>
    <t xml:space="preserve">IGST (₹)</t>
  </si>
  <si>
    <t xml:space="preserve">Total (₹)</t>
  </si>
  <si>
    <t xml:space="preserve">Amount in words</t>
  </si>
  <si>
    <t xml:space="preserve">Taxable value</t>
  </si>
  <si>
    <t xml:space="preserve">CGST</t>
  </si>
  <si>
    <t xml:space="preserve">SGST</t>
  </si>
  <si>
    <t xml:space="preserve">IGST</t>
  </si>
  <si>
    <t xml:space="preserve">Total</t>
  </si>
  <si>
    <t xml:space="preserve">Authorised signatory</t>
  </si>
  <si>
    <t xml:space="preserve">Made with Saroh · saroh.in</t>
  </si>
  <si>
    <t xml:space="preserve">Lotus Hair Studio</t>
  </si>
  <si>
    <t xml:space="preserve">INV-0001</t>
  </si>
  <si>
    <t xml:space="preserve">12 Lake View Road, Indiranagar, Bengaluru 560038</t>
  </si>
  <si>
    <t xml:space="preserve">24 Oct 2026</t>
  </si>
  <si>
    <t xml:space="preserve">29AAAAA0000A1ZY</t>
  </si>
  <si>
    <t xml:space="preserve">Karnataka</t>
  </si>
  <si>
    <t xml:space="preserve">No</t>
  </si>
  <si>
    <t xml:space="preserve">Priya Nair</t>
  </si>
  <si>
    <t xml:space="preserve">Koramangala, Bengaluru 560034</t>
  </si>
  <si>
    <t xml:space="preserve">Haircut and styling</t>
  </si>
  <si>
    <t xml:space="preserve">999721</t>
  </si>
  <si>
    <t xml:space="preserve">Hair colour, full head</t>
  </si>
  <si>
    <t xml:space="preserve">Manicure</t>
  </si>
  <si>
    <t xml:space="preserve">999722</t>
  </si>
  <si>
    <t xml:space="preserve">Rupees four thousand and ninety-five only</t>
  </si>
</sst>
</file>

<file path=xl/styles.xml><?xml version="1.0" encoding="utf-8"?>
<styleSheet xmlns="http://schemas.openxmlformats.org/spreadsheetml/2006/main">
  <numFmts count="1">
    <numFmt numFmtId="164" formatCode="#,##0.00;-#,##0.00;&quot;&quot;"/>
  </numFmts>
  <fonts count="4"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9"/>
      <color rgb="FF6B72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49" fontId="0" fillId="2" borderId="1" xfId="0" applyNumberFormat="1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wrapText="1" vertical="center"/>
    </xf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Pr>
    <pageSetUpPr fitToPage="1"/>
  </sheetPr>
  <cols>
    <col min="1" max="1" width="24" customWidth="1"/>
    <col min="2" max="2" width="30" customWidth="1"/>
    <col min="3" max="3" width="12" customWidth="1"/>
    <col min="4" max="4" width="8" customWidth="1"/>
    <col min="5" max="5" width="12" customWidth="1"/>
    <col min="6" max="6" width="15" customWidth="1"/>
    <col min="7" max="7" width="9" customWidth="1"/>
    <col min="8" max="8" width="12" customWidth="1"/>
    <col min="9" max="9" width="12" customWidth="1"/>
    <col min="10" max="10" width="12" customWidth="1"/>
    <col min="11" max="11" width="14" customWidth="1"/>
  </cols>
  <sheetData>
    <row r="1">
      <c r="A1" s="2" t="s">
        <v>0</v>
      </c>
    </row>
    <row r="2">
      <c r="A2" s="5" t="s">
        <v>1</v>
      </c>
    </row>
    <row r="4">
      <c r="A4" s="1" t="s">
        <v>2</v>
      </c>
      <c r="E4" s="1" t="s">
        <v>3</v>
      </c>
    </row>
    <row r="5">
      <c r="A5" s="1" t="s">
        <v>4</v>
      </c>
      <c r="B5" s="6"/>
      <c r="E5" s="1" t="s">
        <v>5</v>
      </c>
      <c r="H5" s="6"/>
    </row>
    <row r="6">
      <c r="A6" s="1" t="s">
        <v>6</v>
      </c>
      <c r="B6" s="6"/>
      <c r="E6" s="1" t="s">
        <v>7</v>
      </c>
      <c r="H6" s="6"/>
    </row>
    <row r="7">
      <c r="A7" s="1" t="s">
        <v>8</v>
      </c>
      <c r="B7" s="6"/>
      <c r="E7" s="1" t="s">
        <v>9</v>
      </c>
      <c r="H7" s="10"/>
      <c r="I7" s="6"/>
    </row>
    <row r="8">
      <c r="A8" s="1" t="s">
        <v>10</v>
      </c>
      <c r="B8" s="10"/>
      <c r="C8" s="6"/>
      <c r="E8" s="1" t="s">
        <v>11</v>
      </c>
      <c r="H8" s="6"/>
    </row>
    <row r="10">
      <c r="A10" s="1" t="s">
        <v>12</v>
      </c>
    </row>
    <row r="11">
      <c r="A11" s="1" t="s">
        <v>13</v>
      </c>
      <c r="B11" s="6"/>
    </row>
    <row r="12">
      <c r="A12" s="1" t="s">
        <v>6</v>
      </c>
      <c r="B12" s="6"/>
    </row>
    <row r="13">
      <c r="A13" s="1" t="s">
        <v>14</v>
      </c>
      <c r="B13" s="6"/>
    </row>
    <row r="14">
      <c r="A14" s="5" t="s">
        <v>15</v>
      </c>
    </row>
    <row r="16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21</v>
      </c>
      <c r="G16" s="8" t="s">
        <v>22</v>
      </c>
      <c r="H16" s="8" t="s">
        <v>23</v>
      </c>
      <c r="I16" s="8" t="s">
        <v>24</v>
      </c>
      <c r="J16" s="8" t="s">
        <v>25</v>
      </c>
      <c r="K16" s="8" t="s">
        <v>26</v>
      </c>
    </row>
    <row r="17">
      <c r="A17" s="0">
        <v>1</v>
      </c>
      <c r="B17" s="6"/>
      <c r="C17" s="6"/>
      <c r="D17" s="10"/>
      <c r="E17" s="7"/>
      <c r="F17" s="9">
        <f>D17*E17</f>
        <v>0</v>
      </c>
      <c r="G17" s="10"/>
      <c r="H17" s="9">
        <f>IF($B$8=$H$7,ROUND(F17*G17/100,2)-I17,0)</f>
        <v>0</v>
      </c>
      <c r="I17" s="9">
        <f>IF($B$8=$H$7,ROUNDDOWN(ROUND(F17*G17/100,2)/2,2),0)</f>
        <v>0</v>
      </c>
      <c r="J17" s="9">
        <f>IF($B$8=$H$7,0,ROUND(F17*G17/100,2))</f>
        <v>0</v>
      </c>
      <c r="K17" s="9">
        <f>F17+H17+I17+J17</f>
        <v>0</v>
      </c>
    </row>
    <row r="18">
      <c r="A18" s="0">
        <v>2</v>
      </c>
      <c r="B18" s="6"/>
      <c r="C18" s="6"/>
      <c r="D18" s="10"/>
      <c r="E18" s="7"/>
      <c r="F18" s="9">
        <f>D18*E18</f>
        <v>0</v>
      </c>
      <c r="G18" s="10"/>
      <c r="H18" s="9">
        <f>IF($B$8=$H$7,ROUND(F18*G18/100,2)-I18,0)</f>
        <v>0</v>
      </c>
      <c r="I18" s="9">
        <f>IF($B$8=$H$7,ROUNDDOWN(ROUND(F18*G18/100,2)/2,2),0)</f>
        <v>0</v>
      </c>
      <c r="J18" s="9">
        <f>IF($B$8=$H$7,0,ROUND(F18*G18/100,2))</f>
        <v>0</v>
      </c>
      <c r="K18" s="9">
        <f>F18+H18+I18+J18</f>
        <v>0</v>
      </c>
    </row>
    <row r="19">
      <c r="A19" s="0">
        <v>3</v>
      </c>
      <c r="B19" s="6"/>
      <c r="C19" s="6"/>
      <c r="D19" s="10"/>
      <c r="E19" s="7"/>
      <c r="F19" s="9">
        <f>D19*E19</f>
        <v>0</v>
      </c>
      <c r="G19" s="10"/>
      <c r="H19" s="9">
        <f>IF($B$8=$H$7,ROUND(F19*G19/100,2)-I19,0)</f>
        <v>0</v>
      </c>
      <c r="I19" s="9">
        <f>IF($B$8=$H$7,ROUNDDOWN(ROUND(F19*G19/100,2)/2,2),0)</f>
        <v>0</v>
      </c>
      <c r="J19" s="9">
        <f>IF($B$8=$H$7,0,ROUND(F19*G19/100,2))</f>
        <v>0</v>
      </c>
      <c r="K19" s="9">
        <f>F19+H19+I19+J19</f>
        <v>0</v>
      </c>
    </row>
    <row r="20">
      <c r="A20" s="0">
        <v>4</v>
      </c>
      <c r="B20" s="6"/>
      <c r="C20" s="6"/>
      <c r="D20" s="10"/>
      <c r="E20" s="7"/>
      <c r="F20" s="9">
        <f>D20*E20</f>
        <v>0</v>
      </c>
      <c r="G20" s="10"/>
      <c r="H20" s="9">
        <f>IF($B$8=$H$7,ROUND(F20*G20/100,2)-I20,0)</f>
        <v>0</v>
      </c>
      <c r="I20" s="9">
        <f>IF($B$8=$H$7,ROUNDDOWN(ROUND(F20*G20/100,2)/2,2),0)</f>
        <v>0</v>
      </c>
      <c r="J20" s="9">
        <f>IF($B$8=$H$7,0,ROUND(F20*G20/100,2))</f>
        <v>0</v>
      </c>
      <c r="K20" s="9">
        <f>F20+H20+I20+J20</f>
        <v>0</v>
      </c>
    </row>
    <row r="21">
      <c r="A21" s="0">
        <v>5</v>
      </c>
      <c r="B21" s="6"/>
      <c r="C21" s="6"/>
      <c r="D21" s="10"/>
      <c r="E21" s="7"/>
      <c r="F21" s="9">
        <f>D21*E21</f>
        <v>0</v>
      </c>
      <c r="G21" s="10"/>
      <c r="H21" s="9">
        <f>IF($B$8=$H$7,ROUND(F21*G21/100,2)-I21,0)</f>
        <v>0</v>
      </c>
      <c r="I21" s="9">
        <f>IF($B$8=$H$7,ROUNDDOWN(ROUND(F21*G21/100,2)/2,2),0)</f>
        <v>0</v>
      </c>
      <c r="J21" s="9">
        <f>IF($B$8=$H$7,0,ROUND(F21*G21/100,2))</f>
        <v>0</v>
      </c>
      <c r="K21" s="9">
        <f>F21+H21+I21+J21</f>
        <v>0</v>
      </c>
    </row>
    <row r="22">
      <c r="A22" s="0">
        <v>6</v>
      </c>
      <c r="B22" s="6"/>
      <c r="C22" s="6"/>
      <c r="D22" s="10"/>
      <c r="E22" s="7"/>
      <c r="F22" s="9">
        <f>D22*E22</f>
        <v>0</v>
      </c>
      <c r="G22" s="10"/>
      <c r="H22" s="9">
        <f>IF($B$8=$H$7,ROUND(F22*G22/100,2)-I22,0)</f>
        <v>0</v>
      </c>
      <c r="I22" s="9">
        <f>IF($B$8=$H$7,ROUNDDOWN(ROUND(F22*G22/100,2)/2,2),0)</f>
        <v>0</v>
      </c>
      <c r="J22" s="9">
        <f>IF($B$8=$H$7,0,ROUND(F22*G22/100,2))</f>
        <v>0</v>
      </c>
      <c r="K22" s="9">
        <f>F22+H22+I22+J22</f>
        <v>0</v>
      </c>
    </row>
    <row r="23">
      <c r="A23" s="0">
        <v>7</v>
      </c>
      <c r="B23" s="6"/>
      <c r="C23" s="6"/>
      <c r="D23" s="10"/>
      <c r="E23" s="7"/>
      <c r="F23" s="9">
        <f>D23*E23</f>
        <v>0</v>
      </c>
      <c r="G23" s="10"/>
      <c r="H23" s="9">
        <f>IF($B$8=$H$7,ROUND(F23*G23/100,2)-I23,0)</f>
        <v>0</v>
      </c>
      <c r="I23" s="9">
        <f>IF($B$8=$H$7,ROUNDDOWN(ROUND(F23*G23/100,2)/2,2),0)</f>
        <v>0</v>
      </c>
      <c r="J23" s="9">
        <f>IF($B$8=$H$7,0,ROUND(F23*G23/100,2))</f>
        <v>0</v>
      </c>
      <c r="K23" s="9">
        <f>F23+H23+I23+J23</f>
        <v>0</v>
      </c>
    </row>
    <row r="24">
      <c r="A24" s="0">
        <v>8</v>
      </c>
      <c r="B24" s="6"/>
      <c r="C24" s="6"/>
      <c r="D24" s="10"/>
      <c r="E24" s="7"/>
      <c r="F24" s="9">
        <f>D24*E24</f>
        <v>0</v>
      </c>
      <c r="G24" s="10"/>
      <c r="H24" s="9">
        <f>IF($B$8=$H$7,ROUND(F24*G24/100,2)-I24,0)</f>
        <v>0</v>
      </c>
      <c r="I24" s="9">
        <f>IF($B$8=$H$7,ROUNDDOWN(ROUND(F24*G24/100,2)/2,2),0)</f>
        <v>0</v>
      </c>
      <c r="J24" s="9">
        <f>IF($B$8=$H$7,0,ROUND(F24*G24/100,2))</f>
        <v>0</v>
      </c>
      <c r="K24" s="9">
        <f>F24+H24+I24+J24</f>
        <v>0</v>
      </c>
    </row>
    <row r="25">
      <c r="A25" s="0">
        <v>9</v>
      </c>
      <c r="B25" s="6"/>
      <c r="C25" s="6"/>
      <c r="D25" s="10"/>
      <c r="E25" s="7"/>
      <c r="F25" s="9">
        <f>D25*E25</f>
        <v>0</v>
      </c>
      <c r="G25" s="10"/>
      <c r="H25" s="9">
        <f>IF($B$8=$H$7,ROUND(F25*G25/100,2)-I25,0)</f>
        <v>0</v>
      </c>
      <c r="I25" s="9">
        <f>IF($B$8=$H$7,ROUNDDOWN(ROUND(F25*G25/100,2)/2,2),0)</f>
        <v>0</v>
      </c>
      <c r="J25" s="9">
        <f>IF($B$8=$H$7,0,ROUND(F25*G25/100,2))</f>
        <v>0</v>
      </c>
      <c r="K25" s="9">
        <f>F25+H25+I25+J25</f>
        <v>0</v>
      </c>
    </row>
    <row r="26">
      <c r="A26" s="0">
        <v>10</v>
      </c>
      <c r="B26" s="6"/>
      <c r="C26" s="6"/>
      <c r="D26" s="10"/>
      <c r="E26" s="7"/>
      <c r="F26" s="9">
        <f>D26*E26</f>
        <v>0</v>
      </c>
      <c r="G26" s="10"/>
      <c r="H26" s="9">
        <f>IF($B$8=$H$7,ROUND(F26*G26/100,2)-I26,0)</f>
        <v>0</v>
      </c>
      <c r="I26" s="9">
        <f>IF($B$8=$H$7,ROUNDDOWN(ROUND(F26*G26/100,2)/2,2),0)</f>
        <v>0</v>
      </c>
      <c r="J26" s="9">
        <f>IF($B$8=$H$7,0,ROUND(F26*G26/100,2))</f>
        <v>0</v>
      </c>
      <c r="K26" s="9">
        <f>F26+H26+I26+J26</f>
        <v>0</v>
      </c>
    </row>
    <row r="28">
      <c r="A28" s="1" t="s">
        <v>27</v>
      </c>
      <c r="I28" s="0" t="s">
        <v>28</v>
      </c>
      <c r="K28" s="3">
        <f>SUM(F17:F26)</f>
        <v>0</v>
      </c>
    </row>
    <row r="29">
      <c r="B29" s="6"/>
      <c r="I29" s="0" t="s">
        <v>29</v>
      </c>
      <c r="K29" s="3">
        <f>SUM(H17:H26)</f>
        <v>0</v>
      </c>
    </row>
    <row r="30">
      <c r="I30" s="0" t="s">
        <v>30</v>
      </c>
      <c r="K30" s="3">
        <f>SUM(I17:I26)</f>
        <v>0</v>
      </c>
    </row>
    <row r="31">
      <c r="I31" s="0" t="s">
        <v>31</v>
      </c>
      <c r="K31" s="3">
        <f>SUM(J17:J26)</f>
        <v>0</v>
      </c>
    </row>
    <row r="32">
      <c r="I32" s="1" t="s">
        <v>32</v>
      </c>
      <c r="K32" s="4">
        <f>SUM(K17:K26)</f>
        <v>0</v>
      </c>
    </row>
    <row r="34">
      <c r="A34" s="1" t="s">
        <v>33</v>
      </c>
    </row>
    <row r="37">
      <c r="A37" s="5" t="s">
        <v>34</v>
      </c>
    </row>
  </sheetData>
  <pageMargins left="0.5" right="0.5" top="0.6" bottom="0.6" header="0.3" footer="0.3"/>
  <pageSetup paperSize="9" orientation="landscape" fitToWidth="1" fitToHeight="1"/>
  <headerFooter>
    <oddFooter>&amp;CMade with Saroh · saroh.in</oddFooter>
  </headerFooter>
</worksheet>
</file>

<file path=xl/worksheets/sheet2.xml><?xml version="1.0" encoding="utf-8"?>
<worksheet xmlns="http://schemas.openxmlformats.org/spreadsheetml/2006/main">
  <sheetPr>
    <pageSetUpPr fitToPage="1"/>
  </sheetPr>
  <cols>
    <col min="1" max="1" width="24" customWidth="1"/>
    <col min="2" max="2" width="30" customWidth="1"/>
    <col min="3" max="3" width="12" customWidth="1"/>
    <col min="4" max="4" width="8" customWidth="1"/>
    <col min="5" max="5" width="12" customWidth="1"/>
    <col min="6" max="6" width="15" customWidth="1"/>
    <col min="7" max="7" width="9" customWidth="1"/>
    <col min="8" max="8" width="12" customWidth="1"/>
    <col min="9" max="9" width="12" customWidth="1"/>
    <col min="10" max="10" width="12" customWidth="1"/>
    <col min="11" max="11" width="14" customWidth="1"/>
  </cols>
  <sheetData>
    <row r="1">
      <c r="A1" s="2" t="s">
        <v>0</v>
      </c>
    </row>
    <row r="2">
      <c r="A2" s="5" t="s">
        <v>1</v>
      </c>
    </row>
    <row r="4">
      <c r="A4" s="1" t="s">
        <v>2</v>
      </c>
      <c r="E4" s="1" t="s">
        <v>3</v>
      </c>
    </row>
    <row r="5">
      <c r="A5" s="1" t="s">
        <v>4</v>
      </c>
      <c r="B5" s="6" t="s">
        <v>35</v>
      </c>
      <c r="E5" s="1" t="s">
        <v>5</v>
      </c>
      <c r="H5" s="6" t="s">
        <v>36</v>
      </c>
    </row>
    <row r="6">
      <c r="A6" s="1" t="s">
        <v>6</v>
      </c>
      <c r="B6" s="6" t="s">
        <v>37</v>
      </c>
      <c r="E6" s="1" t="s">
        <v>7</v>
      </c>
      <c r="H6" s="6" t="s">
        <v>38</v>
      </c>
    </row>
    <row r="7">
      <c r="A7" s="1" t="s">
        <v>8</v>
      </c>
      <c r="B7" s="6" t="s">
        <v>39</v>
      </c>
      <c r="E7" s="1" t="s">
        <v>9</v>
      </c>
      <c r="H7" s="10">
        <v>29</v>
      </c>
      <c r="I7" s="6" t="s">
        <v>40</v>
      </c>
    </row>
    <row r="8">
      <c r="A8" s="1" t="s">
        <v>10</v>
      </c>
      <c r="B8" s="10">
        <v>29</v>
      </c>
      <c r="C8" s="6" t="s">
        <v>40</v>
      </c>
      <c r="E8" s="1" t="s">
        <v>11</v>
      </c>
      <c r="H8" s="6" t="s">
        <v>41</v>
      </c>
    </row>
    <row r="10">
      <c r="A10" s="1" t="s">
        <v>12</v>
      </c>
    </row>
    <row r="11">
      <c r="A11" s="1" t="s">
        <v>13</v>
      </c>
      <c r="B11" s="6" t="s">
        <v>42</v>
      </c>
    </row>
    <row r="12">
      <c r="A12" s="1" t="s">
        <v>6</v>
      </c>
      <c r="B12" s="6" t="s">
        <v>43</v>
      </c>
    </row>
    <row r="13">
      <c r="A13" s="1" t="s">
        <v>14</v>
      </c>
      <c r="B13" s="6"/>
    </row>
    <row r="14">
      <c r="A14" s="5" t="s">
        <v>15</v>
      </c>
    </row>
    <row r="16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20</v>
      </c>
      <c r="F16" s="8" t="s">
        <v>21</v>
      </c>
      <c r="G16" s="8" t="s">
        <v>22</v>
      </c>
      <c r="H16" s="8" t="s">
        <v>23</v>
      </c>
      <c r="I16" s="8" t="s">
        <v>24</v>
      </c>
      <c r="J16" s="8" t="s">
        <v>25</v>
      </c>
      <c r="K16" s="8" t="s">
        <v>26</v>
      </c>
    </row>
    <row r="17">
      <c r="A17" s="0">
        <v>1</v>
      </c>
      <c r="B17" s="6" t="s">
        <v>44</v>
      </c>
      <c r="C17" s="6" t="s">
        <v>45</v>
      </c>
      <c r="D17" s="10">
        <v>1</v>
      </c>
      <c r="E17" s="7">
        <v>800</v>
      </c>
      <c r="F17" s="9">
        <f>D17*E17</f>
        <v>800</v>
      </c>
      <c r="G17" s="10">
        <v>5</v>
      </c>
      <c r="H17" s="9">
        <f>IF($B$8=$H$7,ROUND(F17*G17/100,2)-I17,0)</f>
        <v>20.00</v>
      </c>
      <c r="I17" s="9">
        <f>IF($B$8=$H$7,ROUNDDOWN(ROUND(F17*G17/100,2)/2,2),0)</f>
        <v>20.00</v>
      </c>
      <c r="J17" s="9">
        <f>IF($B$8=$H$7,0,ROUND(F17*G17/100,2))</f>
        <v>0</v>
      </c>
      <c r="K17" s="9">
        <f>F17+H17+I17+J17</f>
        <v>840.00</v>
      </c>
    </row>
    <row r="18">
      <c r="A18" s="0">
        <v>2</v>
      </c>
      <c r="B18" s="6" t="s">
        <v>46</v>
      </c>
      <c r="C18" s="6" t="s">
        <v>45</v>
      </c>
      <c r="D18" s="10">
        <v>1</v>
      </c>
      <c r="E18" s="7">
        <v>2500</v>
      </c>
      <c r="F18" s="9">
        <f>D18*E18</f>
        <v>2500</v>
      </c>
      <c r="G18" s="10">
        <v>5</v>
      </c>
      <c r="H18" s="9">
        <f>IF($B$8=$H$7,ROUND(F18*G18/100,2)-I18,0)</f>
        <v>62.50</v>
      </c>
      <c r="I18" s="9">
        <f>IF($B$8=$H$7,ROUNDDOWN(ROUND(F18*G18/100,2)/2,2),0)</f>
        <v>62.50</v>
      </c>
      <c r="J18" s="9">
        <f>IF($B$8=$H$7,0,ROUND(F18*G18/100,2))</f>
        <v>0</v>
      </c>
      <c r="K18" s="9">
        <f>F18+H18+I18+J18</f>
        <v>2625.00</v>
      </c>
    </row>
    <row r="19">
      <c r="A19" s="0">
        <v>3</v>
      </c>
      <c r="B19" s="6" t="s">
        <v>47</v>
      </c>
      <c r="C19" s="6" t="s">
        <v>48</v>
      </c>
      <c r="D19" s="10">
        <v>1</v>
      </c>
      <c r="E19" s="7">
        <v>600</v>
      </c>
      <c r="F19" s="9">
        <f>D19*E19</f>
        <v>600</v>
      </c>
      <c r="G19" s="10">
        <v>5</v>
      </c>
      <c r="H19" s="9">
        <f>IF($B$8=$H$7,ROUND(F19*G19/100,2)-I19,0)</f>
        <v>15.00</v>
      </c>
      <c r="I19" s="9">
        <f>IF($B$8=$H$7,ROUNDDOWN(ROUND(F19*G19/100,2)/2,2),0)</f>
        <v>15.00</v>
      </c>
      <c r="J19" s="9">
        <f>IF($B$8=$H$7,0,ROUND(F19*G19/100,2))</f>
        <v>0</v>
      </c>
      <c r="K19" s="9">
        <f>F19+H19+I19+J19</f>
        <v>630.00</v>
      </c>
    </row>
    <row r="20">
      <c r="A20" s="0">
        <v>4</v>
      </c>
      <c r="B20" s="6"/>
      <c r="C20" s="6"/>
      <c r="D20" s="10"/>
      <c r="E20" s="7"/>
      <c r="F20" s="9">
        <f>D20*E20</f>
        <v>0</v>
      </c>
      <c r="G20" s="10"/>
      <c r="H20" s="9">
        <f>IF($B$8=$H$7,ROUND(F20*G20/100,2)-I20,0)</f>
        <v>0</v>
      </c>
      <c r="I20" s="9">
        <f>IF($B$8=$H$7,ROUNDDOWN(ROUND(F20*G20/100,2)/2,2),0)</f>
        <v>0</v>
      </c>
      <c r="J20" s="9">
        <f>IF($B$8=$H$7,0,ROUND(F20*G20/100,2))</f>
        <v>0</v>
      </c>
      <c r="K20" s="9">
        <f>F20+H20+I20+J20</f>
        <v>0</v>
      </c>
    </row>
    <row r="21">
      <c r="A21" s="0">
        <v>5</v>
      </c>
      <c r="B21" s="6"/>
      <c r="C21" s="6"/>
      <c r="D21" s="10"/>
      <c r="E21" s="7"/>
      <c r="F21" s="9">
        <f>D21*E21</f>
        <v>0</v>
      </c>
      <c r="G21" s="10"/>
      <c r="H21" s="9">
        <f>IF($B$8=$H$7,ROUND(F21*G21/100,2)-I21,0)</f>
        <v>0</v>
      </c>
      <c r="I21" s="9">
        <f>IF($B$8=$H$7,ROUNDDOWN(ROUND(F21*G21/100,2)/2,2),0)</f>
        <v>0</v>
      </c>
      <c r="J21" s="9">
        <f>IF($B$8=$H$7,0,ROUND(F21*G21/100,2))</f>
        <v>0</v>
      </c>
      <c r="K21" s="9">
        <f>F21+H21+I21+J21</f>
        <v>0</v>
      </c>
    </row>
    <row r="22">
      <c r="A22" s="0">
        <v>6</v>
      </c>
      <c r="B22" s="6"/>
      <c r="C22" s="6"/>
      <c r="D22" s="10"/>
      <c r="E22" s="7"/>
      <c r="F22" s="9">
        <f>D22*E22</f>
        <v>0</v>
      </c>
      <c r="G22" s="10"/>
      <c r="H22" s="9">
        <f>IF($B$8=$H$7,ROUND(F22*G22/100,2)-I22,0)</f>
        <v>0</v>
      </c>
      <c r="I22" s="9">
        <f>IF($B$8=$H$7,ROUNDDOWN(ROUND(F22*G22/100,2)/2,2),0)</f>
        <v>0</v>
      </c>
      <c r="J22" s="9">
        <f>IF($B$8=$H$7,0,ROUND(F22*G22/100,2))</f>
        <v>0</v>
      </c>
      <c r="K22" s="9">
        <f>F22+H22+I22+J22</f>
        <v>0</v>
      </c>
    </row>
    <row r="23">
      <c r="A23" s="0">
        <v>7</v>
      </c>
      <c r="B23" s="6"/>
      <c r="C23" s="6"/>
      <c r="D23" s="10"/>
      <c r="E23" s="7"/>
      <c r="F23" s="9">
        <f>D23*E23</f>
        <v>0</v>
      </c>
      <c r="G23" s="10"/>
      <c r="H23" s="9">
        <f>IF($B$8=$H$7,ROUND(F23*G23/100,2)-I23,0)</f>
        <v>0</v>
      </c>
      <c r="I23" s="9">
        <f>IF($B$8=$H$7,ROUNDDOWN(ROUND(F23*G23/100,2)/2,2),0)</f>
        <v>0</v>
      </c>
      <c r="J23" s="9">
        <f>IF($B$8=$H$7,0,ROUND(F23*G23/100,2))</f>
        <v>0</v>
      </c>
      <c r="K23" s="9">
        <f>F23+H23+I23+J23</f>
        <v>0</v>
      </c>
    </row>
    <row r="24">
      <c r="A24" s="0">
        <v>8</v>
      </c>
      <c r="B24" s="6"/>
      <c r="C24" s="6"/>
      <c r="D24" s="10"/>
      <c r="E24" s="7"/>
      <c r="F24" s="9">
        <f>D24*E24</f>
        <v>0</v>
      </c>
      <c r="G24" s="10"/>
      <c r="H24" s="9">
        <f>IF($B$8=$H$7,ROUND(F24*G24/100,2)-I24,0)</f>
        <v>0</v>
      </c>
      <c r="I24" s="9">
        <f>IF($B$8=$H$7,ROUNDDOWN(ROUND(F24*G24/100,2)/2,2),0)</f>
        <v>0</v>
      </c>
      <c r="J24" s="9">
        <f>IF($B$8=$H$7,0,ROUND(F24*G24/100,2))</f>
        <v>0</v>
      </c>
      <c r="K24" s="9">
        <f>F24+H24+I24+J24</f>
        <v>0</v>
      </c>
    </row>
    <row r="25">
      <c r="A25" s="0">
        <v>9</v>
      </c>
      <c r="B25" s="6"/>
      <c r="C25" s="6"/>
      <c r="D25" s="10"/>
      <c r="E25" s="7"/>
      <c r="F25" s="9">
        <f>D25*E25</f>
        <v>0</v>
      </c>
      <c r="G25" s="10"/>
      <c r="H25" s="9">
        <f>IF($B$8=$H$7,ROUND(F25*G25/100,2)-I25,0)</f>
        <v>0</v>
      </c>
      <c r="I25" s="9">
        <f>IF($B$8=$H$7,ROUNDDOWN(ROUND(F25*G25/100,2)/2,2),0)</f>
        <v>0</v>
      </c>
      <c r="J25" s="9">
        <f>IF($B$8=$H$7,0,ROUND(F25*G25/100,2))</f>
        <v>0</v>
      </c>
      <c r="K25" s="9">
        <f>F25+H25+I25+J25</f>
        <v>0</v>
      </c>
    </row>
    <row r="26">
      <c r="A26" s="0">
        <v>10</v>
      </c>
      <c r="B26" s="6"/>
      <c r="C26" s="6"/>
      <c r="D26" s="10"/>
      <c r="E26" s="7"/>
      <c r="F26" s="9">
        <f>D26*E26</f>
        <v>0</v>
      </c>
      <c r="G26" s="10"/>
      <c r="H26" s="9">
        <f>IF($B$8=$H$7,ROUND(F26*G26/100,2)-I26,0)</f>
        <v>0</v>
      </c>
      <c r="I26" s="9">
        <f>IF($B$8=$H$7,ROUNDDOWN(ROUND(F26*G26/100,2)/2,2),0)</f>
        <v>0</v>
      </c>
      <c r="J26" s="9">
        <f>IF($B$8=$H$7,0,ROUND(F26*G26/100,2))</f>
        <v>0</v>
      </c>
      <c r="K26" s="9">
        <f>F26+H26+I26+J26</f>
        <v>0</v>
      </c>
    </row>
    <row r="28">
      <c r="A28" s="1" t="s">
        <v>27</v>
      </c>
      <c r="I28" s="0" t="s">
        <v>28</v>
      </c>
      <c r="K28" s="3">
        <f>SUM(F17:F26)</f>
        <v>3900</v>
      </c>
    </row>
    <row r="29">
      <c r="B29" s="6" t="s">
        <v>49</v>
      </c>
      <c r="I29" s="0" t="s">
        <v>29</v>
      </c>
      <c r="K29" s="3">
        <f>SUM(H17:H26)</f>
        <v>97.50</v>
      </c>
    </row>
    <row r="30">
      <c r="I30" s="0" t="s">
        <v>30</v>
      </c>
      <c r="K30" s="3">
        <f>SUM(I17:I26)</f>
        <v>97.50</v>
      </c>
    </row>
    <row r="31">
      <c r="I31" s="0" t="s">
        <v>31</v>
      </c>
      <c r="K31" s="3">
        <f>SUM(J17:J26)</f>
        <v>0</v>
      </c>
    </row>
    <row r="32">
      <c r="I32" s="1" t="s">
        <v>32</v>
      </c>
      <c r="K32" s="4">
        <f>SUM(K17:K26)</f>
        <v>4095.00</v>
      </c>
    </row>
    <row r="34">
      <c r="A34" s="1" t="s">
        <v>33</v>
      </c>
    </row>
    <row r="37">
      <c r="A37" s="5" t="s">
        <v>34</v>
      </c>
    </row>
  </sheetData>
  <pageMargins left="0.5" right="0.5" top="0.6" bottom="0.6" header="0.3" footer="0.3"/>
  <pageSetup paperSize="9" orientation="landscape" fitToWidth="1" fitToHeight="1"/>
  <headerFooter>
    <oddFooter>&amp;CMade with Saroh · saroh.in</oddFooter>
  </headerFooter>
</worksheet>
</file>